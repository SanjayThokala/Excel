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e9f51c869d6588/Desktop/EXCEL/"/>
    </mc:Choice>
  </mc:AlternateContent>
  <xr:revisionPtr revIDLastSave="18" documentId="8_{DE208A9E-3A00-459C-95FB-E3636CF7A157}" xr6:coauthVersionLast="47" xr6:coauthVersionMax="47" xr10:uidLastSave="{EE535A50-5571-4C70-B3AA-36154DB541F7}"/>
  <bookViews>
    <workbookView xWindow="-108" yWindow="-108" windowWidth="23256" windowHeight="12456" xr2:uid="{F285585E-392C-4DA9-9C6B-F95A3F4B4656}"/>
  </bookViews>
  <sheets>
    <sheet name="Personal Exp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C30" i="1"/>
  <c r="O28" i="1"/>
  <c r="O29" i="1"/>
  <c r="O27" i="1"/>
  <c r="O25" i="1"/>
  <c r="O24" i="1"/>
  <c r="O19" i="1"/>
  <c r="O20" i="1"/>
  <c r="O21" i="1"/>
  <c r="O22" i="1"/>
  <c r="O18" i="1"/>
  <c r="D12" i="1"/>
  <c r="E12" i="1"/>
  <c r="F12" i="1"/>
  <c r="F32" i="1" s="1"/>
  <c r="C12" i="1"/>
  <c r="C32" i="1" s="1"/>
  <c r="O9" i="1"/>
  <c r="O10" i="1"/>
  <c r="O11" i="1"/>
  <c r="O8" i="1"/>
  <c r="E32" i="1" l="1"/>
  <c r="D32" i="1"/>
  <c r="O30" i="1"/>
  <c r="O12" i="1"/>
  <c r="O32" i="1" l="1"/>
</calcChain>
</file>

<file path=xl/sharedStrings.xml><?xml version="1.0" encoding="utf-8"?>
<sst xmlns="http://schemas.openxmlformats.org/spreadsheetml/2006/main" count="52" uniqueCount="38">
  <si>
    <t>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</si>
  <si>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</si>
  <si>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</si>
  <si>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</si>
  <si>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</si>
  <si>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</si>
  <si>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</si>
  <si>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</si>
  <si>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</si>
  <si>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</si>
  <si>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</si>
  <si>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</si>
  <si>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</si>
  <si>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 Date</t>
  </si>
  <si>
    <t>Salary</t>
  </si>
  <si>
    <t>Rental Income</t>
  </si>
  <si>
    <t>Dividend, Stock Gair</t>
  </si>
  <si>
    <t>Freelancing</t>
  </si>
  <si>
    <t>Total</t>
  </si>
  <si>
    <t>Income</t>
  </si>
  <si>
    <t>Expences</t>
  </si>
  <si>
    <t>Housing</t>
  </si>
  <si>
    <t>Mortgage  or Rent</t>
  </si>
  <si>
    <t>Phone</t>
  </si>
  <si>
    <t>Electricity</t>
  </si>
  <si>
    <t>Gas</t>
  </si>
  <si>
    <t>Other Maintenance</t>
  </si>
  <si>
    <t>Food</t>
  </si>
  <si>
    <t>Groceries</t>
  </si>
  <si>
    <t>Dining Out</t>
  </si>
  <si>
    <t>Transportation</t>
  </si>
  <si>
    <t>Fuel Expences</t>
  </si>
  <si>
    <t>Bus/Train/Taxi/Flight</t>
  </si>
  <si>
    <t>Vechile Maintence</t>
  </si>
  <si>
    <t>Total Expences</t>
  </si>
  <si>
    <t>Savings/Deficit</t>
  </si>
  <si>
    <t>Personal Income Expence Tracker</t>
  </si>
  <si>
    <t>Monthly Savings Target                                               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</si>
</sst>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3" borderId="1" xfId="0" applyFont="1" applyFill="1" applyBorder="1"/>
    <xf numFmtId="0" fontId="1" fillId="3" borderId="2" xfId="0" applyFont="1" applyFill="1" applyBorder="1"/>
    <xf numFmtId="0" fontId="0" fillId="3" borderId="2" xfId="0" applyFill="1" applyBorder="1"/>
    <xf numFmtId="0" fontId="1" fillId="3" borderId="3" xfId="0" applyFont="1" applyFill="1" applyBorder="1"/>
    <xf numFmtId="0" fontId="4" fillId="6" borderId="0" xfId="0" applyFont="1" applyFill="1"/>
    <xf numFmtId="0" fontId="0" fillId="6" borderId="0" xfId="0" applyFill="1"/>
    <xf numFmtId="0" fontId="1" fillId="3" borderId="0" xfId="0" applyFont="1" applyFill="1" applyAlignment="1">
      <alignment horizontal="left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64"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0.749992370372631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DD41B-EBB7-4054-A673-67D53C5C6744}" name="Table1" displayName="Table1" ref="B7:O12" totalsRowCount="1" headerRowDxfId="61" dataDxfId="60" totalsRowBorderDxfId="59">
  <autoFilter ref="B7:O11" xr:uid="{A3ADD41B-EBB7-4054-A673-67D53C5C67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0B53826-B16A-48C0-BC55-41326B5CFFD4}" name="Item" totalsRowLabel="Total" dataDxfId="58" totalsRowDxfId="57"/>
    <tableColumn id="2" xr3:uid="{11AAA60E-28D7-433B-99F8-19346FE40BDD}" name="Jan" totalsRowFunction="sum" dataDxfId="56" totalsRowDxfId="55"/>
    <tableColumn id="3" xr3:uid="{70094D2F-446B-40C4-9866-68153A99997E}" name="Feb" totalsRowFunction="sum" dataDxfId="54" totalsRowDxfId="53"/>
    <tableColumn id="4" xr3:uid="{08DFAFC3-1531-4993-A531-63EBC44E1C0C}" name="Mar" totalsRowFunction="sum" dataDxfId="52" totalsRowDxfId="51"/>
    <tableColumn id="5" xr3:uid="{2B04D01D-2BAB-4F52-83BF-5851D4350829}" name="Apr" totalsRowFunction="sum" dataDxfId="50" totalsRowDxfId="49"/>
    <tableColumn id="6" xr3:uid="{104F1BAE-C893-4A39-8F35-A3133C6B67F2}" name="May" dataDxfId="48" totalsRowDxfId="47"/>
    <tableColumn id="7" xr3:uid="{DBA80989-1B5A-4FA5-B896-7659F849CD0F}" name="Jun" dataDxfId="46" totalsRowDxfId="45"/>
    <tableColumn id="8" xr3:uid="{0C936124-37E7-48FF-B51F-E15727876101}" name="Jul" dataDxfId="44" totalsRowDxfId="43"/>
    <tableColumn id="9" xr3:uid="{1EB8A4B8-4CEB-409C-B56B-5CCB349A7331}" name="Aug" dataDxfId="42" totalsRowDxfId="41"/>
    <tableColumn id="10" xr3:uid="{DB464236-A910-4868-91D7-4CC7087055EF}" name="Sep" dataDxfId="40" totalsRowDxfId="39"/>
    <tableColumn id="11" xr3:uid="{6E57D00B-BB1C-48FD-A956-BB2B427662AB}" name="Oct" dataDxfId="38" totalsRowDxfId="37"/>
    <tableColumn id="12" xr3:uid="{22F59D1A-1220-4A5C-8CC8-9DEE6DB4A2B1}" name="Nov" dataDxfId="36" totalsRowDxfId="35"/>
    <tableColumn id="13" xr3:uid="{BCF1E544-3983-433F-87D3-FE448E1D394A}" name="Dec" dataDxfId="34" totalsRowDxfId="33"/>
    <tableColumn id="14" xr3:uid="{C35EBC38-9919-4A20-A8FA-1E5743477987}" name="Year To Date" totalsRowFunction="sum" dataDxfId="32" totalsRowDxfId="31">
      <calculatedColumnFormula>SUM(C8:N8)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36739-F8DA-4ADB-9D7B-562DF6D93546}" name="Table2" displayName="Table2" ref="B16:O30" headerRowCount="0" totalsRowCount="1" headerRowDxfId="30" headerRowBorderDxfId="29" tableBorderDxfId="28">
  <tableColumns count="14">
    <tableColumn id="1" xr3:uid="{4FCC188B-29C8-430B-8E4E-1E716A760BD7}" name="Expences" totalsRowLabel="Total Expences" headerRowDxfId="27" totalsRowDxfId="26"/>
    <tableColumn id="2" xr3:uid="{5A79891E-BCAD-4205-B943-1F2AC313C067}" name="Column1" totalsRowFunction="sum" headerRowDxfId="25" totalsRowDxfId="24"/>
    <tableColumn id="3" xr3:uid="{995DB310-2B1C-42E5-AAE9-DB4193CEE3B1}" name="Column2" totalsRowFunction="sum" headerRowDxfId="23" totalsRowDxfId="22"/>
    <tableColumn id="4" xr3:uid="{39C46B8D-9002-4BA1-A885-9DCEF754B7B0}" name="Column3" totalsRowFunction="sum" headerRowDxfId="21" totalsRowDxfId="20"/>
    <tableColumn id="5" xr3:uid="{7B3778A8-0F65-4CD7-9FA2-90FF5588BE7A}" name="Column4" totalsRowFunction="sum" headerRowDxfId="19" totalsRowDxfId="18"/>
    <tableColumn id="6" xr3:uid="{C85F39C6-627D-49F6-8164-C613BC42DE33}" name="Column5" headerRowDxfId="17" totalsRowDxfId="16"/>
    <tableColumn id="7" xr3:uid="{70C94C07-50BA-4921-B7DB-809594D75CA5}" name="Column6" headerRowDxfId="15" totalsRowDxfId="14"/>
    <tableColumn id="8" xr3:uid="{DE99E54D-0B34-4C15-8FAF-3B5E219B19A5}" name="Column7" headerRowDxfId="13" totalsRowDxfId="12"/>
    <tableColumn id="9" xr3:uid="{7C2E9D0E-B0DD-4701-980C-22BE1E240AAB}" name="Column8" headerRowDxfId="11" totalsRowDxfId="10"/>
    <tableColumn id="10" xr3:uid="{0A8CA4CA-33EA-4BFC-A7F3-16CCF4DCA4C3}" name="Column9" headerRowDxfId="9" totalsRowDxfId="8"/>
    <tableColumn id="11" xr3:uid="{AD713929-7F18-40CA-A48B-A61842CBCC49}" name="Column10" headerRowDxfId="7" totalsRowDxfId="6"/>
    <tableColumn id="12" xr3:uid="{681B1E3F-77C3-4743-ADE0-4870CCEE4527}" name="Column11" headerRowDxfId="5" totalsRowDxfId="4"/>
    <tableColumn id="13" xr3:uid="{CCF59962-2AB0-42D1-81DA-6347EBC30476}" name="Column12" headerRowDxfId="3" totalsRowDxfId="2"/>
    <tableColumn id="14" xr3:uid="{1B504121-87CB-44E7-8B75-AA09BA2EF0FC}" name="Column13" totalsRowFunction="sum" headerRowDxfId="1" totalsRowDxfId="0">
      <calculatedColumnFormula>SUM(C16:N16)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CA12-C66A-4649-A130-34CFEBB676CA}">
  <dimension ref="B2:O32"/>
  <sheetViews>
    <sheetView showGridLines="0" tabSelected="1" zoomScale="127" workbookViewId="0">
      <selection activeCell="H22" sqref="H22"/>
    </sheetView>
  </sheetViews>
  <sheetFormatPr defaultRowHeight="14.4" x14ac:dyDescent="0.3"/>
  <cols>
    <col min="1" max="1" width="5.77734375" customWidth="1"/>
    <col min="2" max="2" width="18.33203125" bestFit="1" customWidth="1"/>
    <col min="3" max="11" width="9.44140625" customWidth="1"/>
    <col min="12" max="14" width="10.44140625" customWidth="1"/>
    <col min="15" max="15" width="12.6640625" customWidth="1"/>
  </cols>
  <sheetData>
    <row r="2" spans="2:15" ht="14.4" customHeight="1" x14ac:dyDescent="0.3">
      <c r="B2" s="23" t="s">
        <v>36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4" spans="2:15" ht="14.4" customHeight="1" x14ac:dyDescent="0.3">
      <c r="B4" s="19" t="s">
        <v>37</v>
      </c>
      <c r="C4" s="19"/>
      <c r="D4" s="19"/>
      <c r="E4" s="19"/>
      <c r="F4" s="7"/>
      <c r="G4" s="7"/>
      <c r="H4" s="7"/>
    </row>
    <row r="5" spans="2:15" ht="14.4" customHeight="1" thickBot="1" x14ac:dyDescent="0.35">
      <c r="B5" s="7"/>
      <c r="C5" s="7"/>
      <c r="D5" s="7"/>
      <c r="E5" s="7"/>
      <c r="F5" s="7"/>
      <c r="G5" s="7"/>
      <c r="H5" s="7"/>
    </row>
    <row r="6" spans="2:15" ht="15" thickBot="1" x14ac:dyDescent="0.35">
      <c r="B6" s="20" t="s">
        <v>19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</row>
    <row r="7" spans="2:15" s="1" customFormat="1" x14ac:dyDescent="0.3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</row>
    <row r="8" spans="2:15" s="1" customFormat="1" x14ac:dyDescent="0.3">
      <c r="B8" s="2" t="s">
        <v>14</v>
      </c>
      <c r="C8" s="1">
        <v>60000</v>
      </c>
      <c r="D8" s="1">
        <v>60000</v>
      </c>
      <c r="E8" s="1">
        <v>60000</v>
      </c>
      <c r="F8" s="1">
        <v>75000</v>
      </c>
      <c r="O8" s="1">
        <f>SUM(C8:N8)</f>
        <v>255000</v>
      </c>
    </row>
    <row r="9" spans="2:15" s="1" customFormat="1" x14ac:dyDescent="0.3">
      <c r="B9" s="2" t="s">
        <v>15</v>
      </c>
      <c r="C9" s="1">
        <v>14000</v>
      </c>
      <c r="D9" s="1">
        <v>14000</v>
      </c>
      <c r="E9" s="1">
        <v>0</v>
      </c>
      <c r="F9" s="1">
        <v>15000</v>
      </c>
      <c r="O9" s="1">
        <f t="shared" ref="O9:O11" si="0">SUM(C9:N9)</f>
        <v>43000</v>
      </c>
    </row>
    <row r="10" spans="2:15" s="1" customFormat="1" x14ac:dyDescent="0.3">
      <c r="B10" s="2" t="s">
        <v>16</v>
      </c>
      <c r="C10" s="1">
        <v>2000</v>
      </c>
      <c r="D10" s="1">
        <v>600</v>
      </c>
      <c r="E10" s="1">
        <v>1400</v>
      </c>
      <c r="F10" s="1">
        <v>0</v>
      </c>
      <c r="O10" s="1">
        <f t="shared" si="0"/>
        <v>4000</v>
      </c>
    </row>
    <row r="11" spans="2:15" s="1" customFormat="1" ht="15" thickBot="1" x14ac:dyDescent="0.35">
      <c r="B11" s="2" t="s">
        <v>17</v>
      </c>
      <c r="C11" s="1">
        <v>0</v>
      </c>
      <c r="D11" s="1">
        <v>0</v>
      </c>
      <c r="E11" s="1">
        <v>0</v>
      </c>
      <c r="F11" s="1">
        <v>0</v>
      </c>
      <c r="O11" s="1">
        <f t="shared" si="0"/>
        <v>0</v>
      </c>
    </row>
    <row r="12" spans="2:15" ht="15" thickBot="1" x14ac:dyDescent="0.35">
      <c r="B12" s="4" t="s">
        <v>18</v>
      </c>
      <c r="C12" s="5">
        <f>SUBTOTAL(109,Table1[Jan])</f>
        <v>76000</v>
      </c>
      <c r="D12" s="5">
        <f>SUBTOTAL(109,Table1[Feb])</f>
        <v>74600</v>
      </c>
      <c r="E12" s="5">
        <f>SUBTOTAL(109,Table1[Mar])</f>
        <v>61400</v>
      </c>
      <c r="F12" s="5">
        <f>SUBTOTAL(109,Table1[Apr])</f>
        <v>90000</v>
      </c>
      <c r="G12" s="5"/>
      <c r="H12" s="5"/>
      <c r="I12" s="5"/>
      <c r="J12" s="5"/>
      <c r="K12" s="5"/>
      <c r="L12" s="5"/>
      <c r="M12" s="5"/>
      <c r="N12" s="5"/>
      <c r="O12" s="6">
        <f>SUBTOTAL(109,Table1[Year To Date])</f>
        <v>302000</v>
      </c>
    </row>
    <row r="13" spans="2:15" x14ac:dyDescent="0.3"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ht="15" thickBot="1" x14ac:dyDescent="0.35"/>
    <row r="15" spans="2:15" ht="15" thickBot="1" x14ac:dyDescent="0.35">
      <c r="B15" s="20" t="s">
        <v>20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2"/>
    </row>
    <row r="16" spans="2:15" x14ac:dyDescent="0.3">
      <c r="B16" s="8" t="s">
        <v>0</v>
      </c>
      <c r="C16" s="8" t="s">
        <v>1</v>
      </c>
      <c r="D16" s="8" t="s">
        <v>2</v>
      </c>
      <c r="E16" s="8" t="s">
        <v>3</v>
      </c>
      <c r="F16" s="8" t="s">
        <v>4</v>
      </c>
      <c r="G16" s="8" t="s">
        <v>5</v>
      </c>
      <c r="H16" s="8" t="s">
        <v>6</v>
      </c>
      <c r="I16" s="8" t="s">
        <v>7</v>
      </c>
      <c r="J16" s="8" t="s">
        <v>8</v>
      </c>
      <c r="K16" s="8" t="s">
        <v>9</v>
      </c>
      <c r="L16" s="8" t="s">
        <v>10</v>
      </c>
      <c r="M16" s="8" t="s">
        <v>11</v>
      </c>
      <c r="N16" s="8" t="s">
        <v>12</v>
      </c>
      <c r="O16" s="8" t="s">
        <v>13</v>
      </c>
    </row>
    <row r="17" spans="2:15" x14ac:dyDescent="0.3">
      <c r="B17" s="17" t="s">
        <v>21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2:15" x14ac:dyDescent="0.3">
      <c r="B18" t="s">
        <v>22</v>
      </c>
      <c r="C18">
        <v>23000</v>
      </c>
      <c r="D18">
        <v>23000</v>
      </c>
      <c r="E18">
        <v>23000</v>
      </c>
      <c r="F18">
        <v>22500</v>
      </c>
      <c r="O18">
        <f>SUM(C18:N18)</f>
        <v>91500</v>
      </c>
    </row>
    <row r="19" spans="2:15" x14ac:dyDescent="0.3">
      <c r="B19" t="s">
        <v>23</v>
      </c>
      <c r="C19">
        <v>400</v>
      </c>
      <c r="D19">
        <v>400</v>
      </c>
      <c r="E19">
        <v>400</v>
      </c>
      <c r="F19">
        <v>400</v>
      </c>
      <c r="H19" s="9"/>
      <c r="O19">
        <f t="shared" ref="O19:O22" si="1">SUM(C19:N19)</f>
        <v>1600</v>
      </c>
    </row>
    <row r="20" spans="2:15" x14ac:dyDescent="0.3">
      <c r="B20" t="s">
        <v>24</v>
      </c>
      <c r="C20">
        <v>1700</v>
      </c>
      <c r="D20">
        <v>1600</v>
      </c>
      <c r="E20">
        <v>2300</v>
      </c>
      <c r="F20">
        <v>2800</v>
      </c>
      <c r="O20">
        <f t="shared" si="1"/>
        <v>8400</v>
      </c>
    </row>
    <row r="21" spans="2:15" x14ac:dyDescent="0.3">
      <c r="B21" t="s">
        <v>25</v>
      </c>
      <c r="C21">
        <v>800</v>
      </c>
      <c r="D21">
        <v>950</v>
      </c>
      <c r="E21">
        <v>940</v>
      </c>
      <c r="F21">
        <v>1020</v>
      </c>
      <c r="O21">
        <f t="shared" si="1"/>
        <v>3710</v>
      </c>
    </row>
    <row r="22" spans="2:15" x14ac:dyDescent="0.3">
      <c r="B22" t="s">
        <v>26</v>
      </c>
      <c r="C22">
        <v>600</v>
      </c>
      <c r="D22">
        <v>230</v>
      </c>
      <c r="E22">
        <v>2350</v>
      </c>
      <c r="F22">
        <v>1540</v>
      </c>
      <c r="O22">
        <f t="shared" si="1"/>
        <v>4720</v>
      </c>
    </row>
    <row r="23" spans="2:15" x14ac:dyDescent="0.3">
      <c r="B23" s="17" t="s">
        <v>27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15" x14ac:dyDescent="0.3">
      <c r="B24" t="s">
        <v>28</v>
      </c>
      <c r="C24">
        <v>200</v>
      </c>
      <c r="D24">
        <v>180</v>
      </c>
      <c r="E24">
        <v>160</v>
      </c>
      <c r="F24">
        <v>210</v>
      </c>
      <c r="O24">
        <f>SUM(C24:N24)</f>
        <v>750</v>
      </c>
    </row>
    <row r="25" spans="2:15" x14ac:dyDescent="0.3">
      <c r="B25" t="s">
        <v>29</v>
      </c>
      <c r="C25">
        <v>50</v>
      </c>
      <c r="D25">
        <v>45</v>
      </c>
      <c r="E25">
        <v>37</v>
      </c>
      <c r="F25">
        <v>0</v>
      </c>
      <c r="O25">
        <f t="shared" ref="O25" si="2">SUM(C25:N25)</f>
        <v>132</v>
      </c>
    </row>
    <row r="26" spans="2:15" x14ac:dyDescent="0.3">
      <c r="B26" s="17" t="s">
        <v>30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2:15" x14ac:dyDescent="0.3">
      <c r="B27" t="s">
        <v>31</v>
      </c>
      <c r="C27">
        <v>125</v>
      </c>
      <c r="D27">
        <v>100</v>
      </c>
      <c r="E27">
        <v>67</v>
      </c>
      <c r="F27">
        <v>140</v>
      </c>
      <c r="O27">
        <f>SUM(C27:N27)</f>
        <v>432</v>
      </c>
    </row>
    <row r="28" spans="2:15" x14ac:dyDescent="0.3">
      <c r="B28" t="s">
        <v>32</v>
      </c>
      <c r="C28">
        <v>10</v>
      </c>
      <c r="D28">
        <v>5</v>
      </c>
      <c r="E28">
        <v>9</v>
      </c>
      <c r="F28">
        <v>0</v>
      </c>
      <c r="O28">
        <f t="shared" ref="O28:O29" si="3">SUM(C28:N28)</f>
        <v>24</v>
      </c>
    </row>
    <row r="29" spans="2:15" ht="15" thickBot="1" x14ac:dyDescent="0.35">
      <c r="B29" t="s">
        <v>33</v>
      </c>
      <c r="C29">
        <v>20</v>
      </c>
      <c r="D29">
        <v>45</v>
      </c>
      <c r="E29">
        <v>67</v>
      </c>
      <c r="F29">
        <v>120</v>
      </c>
      <c r="O29">
        <f t="shared" si="3"/>
        <v>252</v>
      </c>
    </row>
    <row r="30" spans="2:15" ht="15" thickBot="1" x14ac:dyDescent="0.35">
      <c r="B30" s="10" t="s">
        <v>34</v>
      </c>
      <c r="C30" s="11">
        <f>SUBTOTAL(109,Table2[Column1])</f>
        <v>26905</v>
      </c>
      <c r="D30" s="11">
        <f>SUBTOTAL(109,Table2[Column2])</f>
        <v>26555</v>
      </c>
      <c r="E30" s="11">
        <f>SUBTOTAL(109,Table2[Column3])</f>
        <v>29330</v>
      </c>
      <c r="F30" s="11">
        <f>SUBTOTAL(109,Table2[Column4])</f>
        <v>28730</v>
      </c>
      <c r="G30" s="11"/>
      <c r="H30" s="11"/>
      <c r="I30" s="11"/>
      <c r="J30" s="11"/>
      <c r="K30" s="11"/>
      <c r="L30" s="11"/>
      <c r="M30" s="11"/>
      <c r="N30" s="11"/>
      <c r="O30" s="12">
        <f>SUBTOTAL(109,Table2[Column13])</f>
        <v>111520</v>
      </c>
    </row>
    <row r="31" spans="2:15" ht="15" thickBot="1" x14ac:dyDescent="0.35"/>
    <row r="32" spans="2:15" ht="15" thickBot="1" x14ac:dyDescent="0.35">
      <c r="B32" s="13" t="s">
        <v>35</v>
      </c>
      <c r="C32" s="14">
        <f>Table1[[#Totals],[Jan]]-Table2[[#Totals],[Column1]]</f>
        <v>49095</v>
      </c>
      <c r="D32" s="14">
        <f>Table1[[#Totals],[Feb]]-Table2[[#Totals],[Column2]]</f>
        <v>48045</v>
      </c>
      <c r="E32" s="14">
        <f>Table1[[#Totals],[Mar]]-Table2[[#Totals],[Column3]]</f>
        <v>32070</v>
      </c>
      <c r="F32" s="14">
        <f>Table1[[#Totals],[Apr]]-Table2[[#Totals],[Column4]]</f>
        <v>61270</v>
      </c>
      <c r="G32" s="15"/>
      <c r="H32" s="15"/>
      <c r="I32" s="15"/>
      <c r="J32" s="15"/>
      <c r="K32" s="15"/>
      <c r="L32" s="15"/>
      <c r="M32" s="15"/>
      <c r="N32" s="15"/>
      <c r="O32" s="16">
        <f>Table1[[#Totals],[Year To Date]]-Table2[[#Totals],[Column13]]</f>
        <v>190480</v>
      </c>
    </row>
  </sheetData>
  <mergeCells count="4">
    <mergeCell ref="B4:E4"/>
    <mergeCell ref="B6:O6"/>
    <mergeCell ref="B15:O15"/>
    <mergeCell ref="B2:O2"/>
  </mergeCells>
  <phoneticPr fontId="2" type="noConversion"/>
  <conditionalFormatting sqref="C32:F32">
    <cfRule type="cellIs" dxfId="63" priority="2" operator="lessThan">
      <formula>40000</formula>
    </cfRule>
  </conditionalFormatting>
  <conditionalFormatting sqref="O32">
    <cfRule type="cellIs" dxfId="62" priority="1" operator="lessThan">
      <formula>40000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Expences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sanju</dc:creator>
  <cp:lastModifiedBy>Sanjay sanju</cp:lastModifiedBy>
  <dcterms:created xsi:type="dcterms:W3CDTF">2023-05-21T21:16:46Z</dcterms:created>
  <dcterms:modified xsi:type="dcterms:W3CDTF">2023-05-21T21:53:16Z</dcterms:modified>
</cp:coreProperties>
</file>